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<sst xmlns="http://schemas.openxmlformats.org/spreadsheetml/2006/main" count="30" uniqueCount="30">
  <si>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Input Start Info:</t>
  </si>
  <si>
    <t xml:space="preserve">Class Notes:
</t>
  </si>
  <si>
    <t xml:space="preserve">Year:</t>
  </si>
  <si>
    <t xml:space="preserve">MWF 10:30a-11:25a 
Monday start</t>
  </si>
  <si>
    <t xml:space="preserve">Month:</t>
  </si>
  <si>
    <t xml:space="preserve">January</t>
  </si>
  <si>
    <t xml:space="preserve">Day:</t>
  </si>
  <si>
    <t xml:space="preserve">Month</t>
  </si>
  <si>
    <t xml:space="preserve">Week</t>
  </si>
  <si>
    <t xml:space="preserve">Class Day</t>
  </si>
  <si>
    <t xml:space="preserve">MWF Date</t>
  </si>
  <si>
    <t xml:space="preserve">MWF Class Notes</t>
  </si>
  <si>
    <t xml:space="preserve">Week Notes</t>
  </si>
  <si>
    <t xml:space="preserve">review what you know about electricity and magnetism</t>
  </si>
  <si>
    <t xml:space="preserve">coulomb’s law and force, where is the force zero</t>
  </si>
  <si>
    <t xml:space="preserve">more force and beginning work, review of dot product</t>
  </si>
  <si>
    <t xml:space="preserve">review of conservation of energy, potential energy, what makes a force conservative</t>
  </si>
  <si>
    <t xml:space="preserve">electric field, charge distributions</t>
  </si>
  <si>
    <t xml:space="preserve">Homework catch up</t>
  </si>
  <si>
    <t xml:space="preserve">Electric field, volume integrals, and flux</t>
  </si>
  <si>
    <t xml:space="preserve">flux and gauss’s law</t>
  </si>
  <si>
    <t xml:space="preserve">Exam 1</t>
  </si>
  <si>
    <t xml:space="preserve">MID TERM GRADES</t>
  </si>
  <si>
    <t xml:space="preserve">Exam 2</t>
  </si>
  <si>
    <t xml:space="preserve">EASTER NO CLASS</t>
  </si>
  <si>
    <t xml:space="preserve">** SHORT WEEK **  </t>
  </si>
  <si>
    <t xml:space="preserve">Exam 3</t>
  </si>
  <si>
    <t xml:space="preserve">LAST WEEK OF CLASS</t>
  </si>
  <si>
    <t xml:space="preserve">** Study Day **</t>
  </si>
  <si>
    <t xml:space="preserve">** FINAL EXAMS **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</si>
</sst>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m"/>
    <numFmt numFmtId="166" formatCode="d;@"/>
    <numFmt numFmtId="167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Open Sans"/>
      <family val="2"/>
      <charset val="1"/>
    </font>
    <font>
      <i val="true"/>
      <sz val="11"/>
      <color rgb="FF7F7F7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0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  <cellStyle name="Excel Built-in Explanatory Text 1" xfId="21"/>
  </cellStyles>
  <dxfs count="6"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F73" activeCellId="0" sqref="F73"/>
    </sheetView>
  </sheetViews>
  <sheetFormatPr defaultColWidth="8.5390625" defaultRowHeight="12.8" zeroHeight="false" outlineLevelRow="0" outlineLevelCol="0"/>
  <cols>
    <col collapsed="false" customWidth="false" hidden="false" outlineLevel="0" max="4" min="1" style="1" width="8.53"/>
    <col collapsed="false" customWidth="true" hidden="false" outlineLevel="0" max="5" min="5" style="1" width="49.11"/>
    <col collapsed="false" customWidth="true" hidden="false" outlineLevel="0" max="6" min="6" style="1" width="51.44"/>
    <col collapsed="false" customWidth="false" hidden="false" outlineLevel="0" max="1024" min="7" style="1" width="8.53"/>
  </cols>
  <sheetData>
    <row r="1" customFormat="false" ht="15.6" hidden="false" customHeight="true" outlineLevel="0" collapsed="false">
      <c r="B1" s="2" t="s">
        <v>0</v>
      </c>
      <c r="C1" s="3"/>
      <c r="D1" s="4"/>
      <c r="F1" s="5" t="s">
        <v>1</v>
      </c>
    </row>
    <row r="2" customFormat="false" ht="12.8" hidden="false" customHeight="true" outlineLevel="0" collapsed="false">
      <c r="B2" s="6" t="s">
        <v>2</v>
      </c>
      <c r="C2" s="6"/>
      <c r="D2" s="7" t="n">
        <v>2021</v>
      </c>
      <c r="E2" s="8"/>
      <c r="F2" s="9" t="s">
        <v>3</v>
      </c>
    </row>
    <row r="3" customFormat="false" ht="12.8" hidden="false" customHeight="false" outlineLevel="0" collapsed="false">
      <c r="B3" s="6" t="s">
        <v>4</v>
      </c>
      <c r="C3" s="6"/>
      <c r="D3" s="10" t="s">
        <v>5</v>
      </c>
      <c r="E3" s="11"/>
      <c r="F3" s="9"/>
    </row>
    <row r="4" customFormat="false" ht="12.8" hidden="false" customHeight="false" outlineLevel="0" collapsed="false">
      <c r="B4" s="12" t="s">
        <v>6</v>
      </c>
      <c r="C4" s="12"/>
      <c r="D4" s="13" t="n">
        <v>25</v>
      </c>
      <c r="E4" s="14"/>
      <c r="F4" s="9"/>
    </row>
    <row r="5" customFormat="false" ht="12.8" hidden="false" customHeight="false" outlineLevel="0" collapsed="false">
      <c r="F5" s="9"/>
    </row>
    <row r="6" customFormat="false" ht="12.8" hidden="false" customHeight="false" outlineLevel="0" collapsed="false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</row>
    <row r="7" customFormat="false" ht="14.9" hidden="false" customHeight="true" outlineLevel="0" collapsed="false">
      <c r="A7" s="15" t="n">
        <f aca="false">DATE(D2,MONTH(1&amp;D3),D4)</f>
        <v>44221</v>
      </c>
      <c r="B7" s="16" t="n">
        <v>1</v>
      </c>
      <c r="C7" s="16" t="n">
        <v>1</v>
      </c>
      <c r="D7" s="17" t="n">
        <f aca="false">DATE(D2,MONTH(1&amp;D3),D4)</f>
        <v>44221</v>
      </c>
      <c r="E7" s="18" t="s">
        <v>13</v>
      </c>
      <c r="F7" s="19"/>
    </row>
    <row r="8" customFormat="false" ht="12.8" hidden="false" customHeight="false" outlineLevel="0" collapsed="false">
      <c r="A8" s="15"/>
      <c r="B8" s="16"/>
      <c r="C8" s="16"/>
      <c r="D8" s="17"/>
      <c r="E8" s="18"/>
      <c r="F8" s="18"/>
    </row>
    <row r="9" customFormat="false" ht="12.8" hidden="false" customHeight="true" outlineLevel="0" collapsed="false">
      <c r="A9" s="15"/>
      <c r="B9" s="16"/>
      <c r="C9" s="20" t="n">
        <v>2</v>
      </c>
      <c r="D9" s="21" t="n">
        <f aca="false">IF(D8="",D7+IF(OR(WEEKDAY(D7)=2,WEEKDAY(D7)=4),2,3),"")</f>
        <v>44223</v>
      </c>
      <c r="E9" s="22" t="s">
        <v>14</v>
      </c>
      <c r="F9" s="19"/>
    </row>
    <row r="10" customFormat="false" ht="12.8" hidden="false" customHeight="false" outlineLevel="0" collapsed="false">
      <c r="A10" s="15"/>
      <c r="B10" s="16"/>
      <c r="C10" s="20"/>
      <c r="D10" s="21"/>
      <c r="E10" s="22"/>
      <c r="F10" s="22"/>
    </row>
    <row r="11" customFormat="false" ht="12.8" hidden="false" customHeight="true" outlineLevel="0" collapsed="false">
      <c r="A11" s="15"/>
      <c r="B11" s="16"/>
      <c r="C11" s="20" t="n">
        <v>3</v>
      </c>
      <c r="D11" s="21" t="n">
        <f aca="false">IF(D10="",D9+IF(OR(WEEKDAY(D9)=2,WEEKDAY(D9)=4),2,3),"")</f>
        <v>44225</v>
      </c>
      <c r="E11" s="22" t="s">
        <v>15</v>
      </c>
      <c r="F11" s="19"/>
    </row>
    <row r="12" customFormat="false" ht="12.8" hidden="false" customHeight="false" outlineLevel="0" collapsed="false">
      <c r="A12" s="15"/>
      <c r="B12" s="16"/>
      <c r="C12" s="20"/>
      <c r="D12" s="21"/>
      <c r="E12" s="22"/>
      <c r="F12" s="19"/>
    </row>
    <row r="13" customFormat="false" ht="14.9" hidden="false" customHeight="true" outlineLevel="0" collapsed="false">
      <c r="A13" s="23" t="n">
        <f aca="false">DATE(D2,MONTH(1&amp;D3)+1,D4)</f>
        <v>44252</v>
      </c>
      <c r="B13" s="16" t="n">
        <v>2</v>
      </c>
      <c r="C13" s="16" t="n">
        <v>4</v>
      </c>
      <c r="D13" s="17" t="n">
        <f aca="false">IF(D12="",D11+IF(OR(WEEKDAY(D11)=2,WEEKDAY(D11)=4),2,3),"")</f>
        <v>44228</v>
      </c>
      <c r="E13" s="18" t="s">
        <v>16</v>
      </c>
      <c r="F13" s="19"/>
    </row>
    <row r="14" customFormat="false" ht="12.8" hidden="false" customHeight="false" outlineLevel="0" collapsed="false">
      <c r="A14" s="15"/>
      <c r="B14" s="16"/>
      <c r="C14" s="16"/>
      <c r="D14" s="17"/>
      <c r="E14" s="18"/>
      <c r="F14" s="18"/>
    </row>
    <row r="15" customFormat="false" ht="12.8" hidden="false" customHeight="true" outlineLevel="0" collapsed="false">
      <c r="B15" s="16"/>
      <c r="C15" s="20" t="n">
        <v>5</v>
      </c>
      <c r="D15" s="21" t="n">
        <f aca="false">IF(D14="",D13+IF(OR(WEEKDAY(D13)=2,WEEKDAY(D13)=4),2,3),"")</f>
        <v>44230</v>
      </c>
      <c r="E15" s="22" t="s">
        <v>17</v>
      </c>
      <c r="F15" s="19"/>
    </row>
    <row r="16" customFormat="false" ht="12.8" hidden="false" customHeight="false" outlineLevel="0" collapsed="false">
      <c r="B16" s="16"/>
      <c r="C16" s="20"/>
      <c r="D16" s="21"/>
      <c r="E16" s="22"/>
      <c r="F16" s="22"/>
    </row>
    <row r="17" customFormat="false" ht="12.8" hidden="false" customHeight="true" outlineLevel="0" collapsed="false">
      <c r="B17" s="16"/>
      <c r="C17" s="20" t="n">
        <v>6</v>
      </c>
      <c r="D17" s="21" t="n">
        <f aca="false">IF(D16="",D15+IF(OR(WEEKDAY(D15)=2,WEEKDAY(D15)=4),2,3),"")</f>
        <v>44232</v>
      </c>
      <c r="E17" s="22" t="s">
        <v>18</v>
      </c>
      <c r="F17" s="19"/>
    </row>
    <row r="18" customFormat="false" ht="12.8" hidden="false" customHeight="false" outlineLevel="0" collapsed="false">
      <c r="B18" s="16"/>
      <c r="C18" s="20"/>
      <c r="D18" s="21"/>
      <c r="E18" s="22"/>
      <c r="F18" s="19"/>
    </row>
    <row r="19" customFormat="false" ht="12.8" hidden="false" customHeight="true" outlineLevel="0" collapsed="false">
      <c r="B19" s="16" t="n">
        <v>3</v>
      </c>
      <c r="C19" s="16" t="n">
        <v>7</v>
      </c>
      <c r="D19" s="17" t="n">
        <f aca="false">IF(D18="",D17+IF(OR(WEEKDAY(D17)=2,WEEKDAY(D17)=4),2,3),"")</f>
        <v>44235</v>
      </c>
      <c r="E19" s="18" t="s">
        <v>19</v>
      </c>
      <c r="F19" s="19"/>
    </row>
    <row r="20" customFormat="false" ht="12.8" hidden="false" customHeight="false" outlineLevel="0" collapsed="false">
      <c r="B20" s="16"/>
      <c r="C20" s="16"/>
      <c r="D20" s="17"/>
      <c r="E20" s="18"/>
      <c r="F20" s="18"/>
    </row>
    <row r="21" customFormat="false" ht="12.8" hidden="false" customHeight="true" outlineLevel="0" collapsed="false">
      <c r="B21" s="16"/>
      <c r="C21" s="20" t="n">
        <v>8</v>
      </c>
      <c r="D21" s="21" t="n">
        <f aca="false">IF(D20="",D19+IF(OR(WEEKDAY(D19)=2,WEEKDAY(D19)=4),2,3),"")</f>
        <v>44237</v>
      </c>
      <c r="E21" s="22" t="s">
        <v>20</v>
      </c>
      <c r="F21" s="19"/>
    </row>
    <row r="22" customFormat="false" ht="12.8" hidden="false" customHeight="false" outlineLevel="0" collapsed="false">
      <c r="B22" s="16"/>
      <c r="C22" s="20"/>
      <c r="D22" s="21"/>
      <c r="E22" s="22"/>
      <c r="F22" s="22"/>
    </row>
    <row r="23" customFormat="false" ht="12.8" hidden="false" customHeight="false" outlineLevel="0" collapsed="false">
      <c r="B23" s="16"/>
      <c r="C23" s="20" t="n">
        <v>9</v>
      </c>
      <c r="D23" s="21" t="n">
        <f aca="false">IF(D22="",D21+IF(OR(WEEKDAY(D21)=2,WEEKDAY(D21)=4),2,3),"")</f>
        <v>44239</v>
      </c>
      <c r="E23" s="22"/>
      <c r="F23" s="19"/>
    </row>
    <row r="24" customFormat="false" ht="12.8" hidden="false" customHeight="false" outlineLevel="0" collapsed="false">
      <c r="B24" s="16"/>
      <c r="C24" s="20"/>
      <c r="D24" s="21"/>
      <c r="E24" s="22"/>
      <c r="F24" s="19"/>
    </row>
    <row r="25" customFormat="false" ht="12.8" hidden="false" customHeight="false" outlineLevel="0" collapsed="false">
      <c r="B25" s="16" t="n">
        <v>4</v>
      </c>
      <c r="C25" s="16" t="n">
        <v>10</v>
      </c>
      <c r="D25" s="17" t="n">
        <f aca="false">IF(D24="",D23+IF(OR(WEEKDAY(D23)=2,WEEKDAY(D23)=4),2,3),"")</f>
        <v>44242</v>
      </c>
      <c r="E25" s="18"/>
      <c r="F25" s="19"/>
    </row>
    <row r="26" customFormat="false" ht="12.8" hidden="false" customHeight="false" outlineLevel="0" collapsed="false">
      <c r="B26" s="16"/>
      <c r="C26" s="16"/>
      <c r="D26" s="17"/>
      <c r="E26" s="18"/>
      <c r="F26" s="18"/>
    </row>
    <row r="27" customFormat="false" ht="12.8" hidden="false" customHeight="false" outlineLevel="0" collapsed="false">
      <c r="B27" s="16"/>
      <c r="C27" s="20" t="n">
        <v>11</v>
      </c>
      <c r="D27" s="21" t="n">
        <f aca="false">IF(D26="",D25+IF(OR(WEEKDAY(D25)=2,WEEKDAY(D25)=4),2,3),"")</f>
        <v>44244</v>
      </c>
      <c r="E27" s="22"/>
      <c r="F27" s="19"/>
    </row>
    <row r="28" customFormat="false" ht="12.8" hidden="false" customHeight="false" outlineLevel="0" collapsed="false">
      <c r="B28" s="16"/>
      <c r="C28" s="20"/>
      <c r="D28" s="21"/>
      <c r="E28" s="22"/>
      <c r="F28" s="22"/>
    </row>
    <row r="29" customFormat="false" ht="12.8" hidden="false" customHeight="false" outlineLevel="0" collapsed="false">
      <c r="B29" s="16"/>
      <c r="C29" s="20" t="n">
        <v>12</v>
      </c>
      <c r="D29" s="21" t="n">
        <f aca="false">IF(D28="",D27+IF(OR(WEEKDAY(D27)=2,WEEKDAY(D27)=4),2,3),"")</f>
        <v>44246</v>
      </c>
      <c r="E29" s="22"/>
      <c r="F29" s="19"/>
    </row>
    <row r="30" customFormat="false" ht="12.8" hidden="false" customHeight="false" outlineLevel="0" collapsed="false">
      <c r="B30" s="16"/>
      <c r="C30" s="20"/>
      <c r="D30" s="21"/>
      <c r="E30" s="22"/>
      <c r="F30" s="19"/>
    </row>
    <row r="31" customFormat="false" ht="12.8" hidden="false" customHeight="true" outlineLevel="0" collapsed="false">
      <c r="B31" s="16" t="n">
        <v>5</v>
      </c>
      <c r="C31" s="16" t="n">
        <v>13</v>
      </c>
      <c r="D31" s="17" t="n">
        <f aca="false">IF(D30="",D29+IF(OR(WEEKDAY(D29)=2,WEEKDAY(D29)=4),2,3),"")</f>
        <v>44249</v>
      </c>
      <c r="E31" s="18"/>
      <c r="F31" s="24" t="s">
        <v>21</v>
      </c>
    </row>
    <row r="32" customFormat="false" ht="12.8" hidden="false" customHeight="false" outlineLevel="0" collapsed="false">
      <c r="B32" s="16"/>
      <c r="C32" s="16"/>
      <c r="D32" s="17"/>
      <c r="E32" s="18"/>
      <c r="F32" s="18"/>
    </row>
    <row r="33" customFormat="false" ht="12.8" hidden="false" customHeight="false" outlineLevel="0" collapsed="false">
      <c r="B33" s="16"/>
      <c r="C33" s="20" t="n">
        <v>14</v>
      </c>
      <c r="D33" s="21" t="n">
        <f aca="false">IF(D32="",D31+IF(OR(WEEKDAY(D31)=2,WEEKDAY(D31)=4),2,3),"")</f>
        <v>44251</v>
      </c>
      <c r="E33" s="22"/>
      <c r="F33" s="24"/>
    </row>
    <row r="34" customFormat="false" ht="12.8" hidden="false" customHeight="false" outlineLevel="0" collapsed="false">
      <c r="B34" s="16"/>
      <c r="C34" s="20"/>
      <c r="D34" s="21"/>
      <c r="E34" s="22"/>
      <c r="F34" s="22"/>
    </row>
    <row r="35" customFormat="false" ht="12.8" hidden="false" customHeight="false" outlineLevel="0" collapsed="false">
      <c r="B35" s="16"/>
      <c r="C35" s="20" t="n">
        <v>15</v>
      </c>
      <c r="D35" s="21" t="n">
        <f aca="false">IF(D34="",D33+IF(OR(WEEKDAY(D33)=2,WEEKDAY(D33)=4),2,3),"")</f>
        <v>44253</v>
      </c>
      <c r="E35" s="22"/>
      <c r="F35" s="24"/>
    </row>
    <row r="36" customFormat="false" ht="12.8" hidden="false" customHeight="false" outlineLevel="0" collapsed="false">
      <c r="B36" s="16"/>
      <c r="C36" s="20"/>
      <c r="D36" s="21"/>
      <c r="E36" s="22"/>
      <c r="F36" s="24"/>
    </row>
    <row r="37" customFormat="false" ht="12.8" hidden="false" customHeight="false" outlineLevel="0" collapsed="false">
      <c r="A37" s="23" t="n">
        <f aca="false">DATE(D2,MONTH(1&amp;D3)+2,D4)</f>
        <v>44280</v>
      </c>
      <c r="B37" s="16" t="n">
        <v>6</v>
      </c>
      <c r="C37" s="16" t="n">
        <v>16</v>
      </c>
      <c r="D37" s="17" t="n">
        <f aca="false">IF(D36="",D35+IF(OR(WEEKDAY(D35)=2,WEEKDAY(D35)=4),2,3),"")</f>
        <v>44256</v>
      </c>
      <c r="E37" s="18"/>
      <c r="F37" s="19"/>
    </row>
    <row r="38" customFormat="false" ht="12.8" hidden="false" customHeight="false" outlineLevel="0" collapsed="false">
      <c r="B38" s="16"/>
      <c r="C38" s="16"/>
      <c r="D38" s="17"/>
      <c r="E38" s="18"/>
      <c r="F38" s="19"/>
    </row>
    <row r="39" customFormat="false" ht="12.8" hidden="false" customHeight="false" outlineLevel="0" collapsed="false">
      <c r="B39" s="16"/>
      <c r="C39" s="20" t="n">
        <v>17</v>
      </c>
      <c r="D39" s="21" t="n">
        <f aca="false">IF(D38="",D37+IF(OR(WEEKDAY(D37)=2,WEEKDAY(D37)=4),2,3),"")</f>
        <v>44258</v>
      </c>
      <c r="E39" s="22"/>
      <c r="F39" s="19"/>
    </row>
    <row r="40" customFormat="false" ht="12.8" hidden="false" customHeight="false" outlineLevel="0" collapsed="false">
      <c r="B40" s="16"/>
      <c r="C40" s="20"/>
      <c r="D40" s="21"/>
      <c r="E40" s="22"/>
      <c r="F40" s="19"/>
    </row>
    <row r="41" customFormat="false" ht="12.8" hidden="false" customHeight="false" outlineLevel="0" collapsed="false">
      <c r="B41" s="16"/>
      <c r="C41" s="20" t="n">
        <v>18</v>
      </c>
      <c r="D41" s="21" t="n">
        <f aca="false">IF(D40="",D39+IF(OR(WEEKDAY(D39)=2,WEEKDAY(D39)=4),2,3),"")</f>
        <v>44260</v>
      </c>
      <c r="E41" s="22"/>
      <c r="F41" s="19"/>
    </row>
    <row r="42" customFormat="false" ht="12.8" hidden="false" customHeight="false" outlineLevel="0" collapsed="false">
      <c r="B42" s="16"/>
      <c r="C42" s="20"/>
      <c r="D42" s="21"/>
      <c r="E42" s="22"/>
      <c r="F42" s="19"/>
    </row>
    <row r="43" customFormat="false" ht="12.8" hidden="false" customHeight="false" outlineLevel="0" collapsed="false">
      <c r="B43" s="16" t="n">
        <v>7</v>
      </c>
      <c r="C43" s="16" t="n">
        <v>19</v>
      </c>
      <c r="D43" s="17" t="n">
        <f aca="false">IF(D42="",D41+IF(OR(WEEKDAY(D41)=2,WEEKDAY(D41)=4),2,3),"")</f>
        <v>44263</v>
      </c>
      <c r="E43" s="18"/>
      <c r="F43" s="19"/>
    </row>
    <row r="44" customFormat="false" ht="12.8" hidden="false" customHeight="false" outlineLevel="0" collapsed="false">
      <c r="B44" s="16"/>
      <c r="C44" s="16"/>
      <c r="D44" s="17"/>
      <c r="E44" s="18"/>
      <c r="F44" s="18"/>
    </row>
    <row r="45" customFormat="false" ht="12.8" hidden="false" customHeight="false" outlineLevel="0" collapsed="false">
      <c r="B45" s="16"/>
      <c r="C45" s="20" t="n">
        <v>20</v>
      </c>
      <c r="D45" s="21" t="n">
        <f aca="false">IF(D44="",D43+IF(OR(WEEKDAY(D43)=2,WEEKDAY(D43)=4),2,3),"")</f>
        <v>44265</v>
      </c>
      <c r="E45" s="22"/>
      <c r="F45" s="19"/>
    </row>
    <row r="46" customFormat="false" ht="12.8" hidden="false" customHeight="false" outlineLevel="0" collapsed="false">
      <c r="B46" s="16"/>
      <c r="C46" s="20"/>
      <c r="D46" s="21"/>
      <c r="E46" s="22"/>
      <c r="F46" s="22"/>
    </row>
    <row r="47" customFormat="false" ht="12.8" hidden="false" customHeight="false" outlineLevel="0" collapsed="false">
      <c r="B47" s="16"/>
      <c r="C47" s="20" t="n">
        <v>21</v>
      </c>
      <c r="D47" s="21" t="n">
        <f aca="false">IF(D46="",D45+IF(OR(WEEKDAY(D45)=2,WEEKDAY(D45)=4),2,3),"")</f>
        <v>44267</v>
      </c>
      <c r="E47" s="22"/>
      <c r="F47" s="19"/>
    </row>
    <row r="48" customFormat="false" ht="12.8" hidden="false" customHeight="false" outlineLevel="0" collapsed="false">
      <c r="B48" s="16"/>
      <c r="C48" s="20"/>
      <c r="D48" s="21"/>
      <c r="E48" s="22"/>
      <c r="F48" s="19"/>
    </row>
    <row r="49" customFormat="false" ht="12.8" hidden="false" customHeight="true" outlineLevel="0" collapsed="false">
      <c r="B49" s="16" t="n">
        <v>8</v>
      </c>
      <c r="C49" s="16" t="n">
        <v>22</v>
      </c>
      <c r="D49" s="17" t="n">
        <f aca="false">IF(D48="",D47+IF(OR(WEEKDAY(D47)=2,WEEKDAY(D47)=4),2,3),"")</f>
        <v>44270</v>
      </c>
      <c r="E49" s="18"/>
      <c r="F49" s="19" t="s">
        <v>22</v>
      </c>
    </row>
    <row r="50" customFormat="false" ht="12.8" hidden="false" customHeight="false" outlineLevel="0" collapsed="false">
      <c r="B50" s="16"/>
      <c r="C50" s="16"/>
      <c r="D50" s="17"/>
      <c r="E50" s="18"/>
      <c r="F50" s="18"/>
    </row>
    <row r="51" customFormat="false" ht="12.8" hidden="false" customHeight="false" outlineLevel="0" collapsed="false">
      <c r="B51" s="16"/>
      <c r="C51" s="20" t="n">
        <v>23</v>
      </c>
      <c r="D51" s="21" t="n">
        <f aca="false">IF(D50="",D49+IF(OR(WEEKDAY(D49)=2,WEEKDAY(D49)=4),2,3),"")</f>
        <v>44272</v>
      </c>
      <c r="E51" s="22"/>
      <c r="F51" s="19"/>
    </row>
    <row r="52" customFormat="false" ht="12.8" hidden="false" customHeight="false" outlineLevel="0" collapsed="false">
      <c r="B52" s="16"/>
      <c r="C52" s="20"/>
      <c r="D52" s="21"/>
      <c r="E52" s="22"/>
      <c r="F52" s="22"/>
    </row>
    <row r="53" customFormat="false" ht="12.8" hidden="false" customHeight="false" outlineLevel="0" collapsed="false">
      <c r="B53" s="16"/>
      <c r="C53" s="20" t="n">
        <v>24</v>
      </c>
      <c r="D53" s="21" t="n">
        <f aca="false">IF(D52="",D51+IF(OR(WEEKDAY(D51)=2,WEEKDAY(D51)=4),2,3),"")</f>
        <v>44274</v>
      </c>
      <c r="E53" s="22"/>
      <c r="F53" s="19"/>
    </row>
    <row r="54" customFormat="false" ht="12.8" hidden="false" customHeight="false" outlineLevel="0" collapsed="false">
      <c r="B54" s="16"/>
      <c r="C54" s="20"/>
      <c r="D54" s="21"/>
      <c r="E54" s="22"/>
      <c r="F54" s="19"/>
    </row>
    <row r="55" customFormat="false" ht="12.8" hidden="false" customHeight="true" outlineLevel="0" collapsed="false">
      <c r="B55" s="16" t="n">
        <v>9</v>
      </c>
      <c r="C55" s="16" t="n">
        <v>25</v>
      </c>
      <c r="D55" s="17" t="n">
        <f aca="false">IF(D54="",D53+IF(OR(WEEKDAY(D53)=2,WEEKDAY(D53)=4),2,3),"")</f>
        <v>44277</v>
      </c>
      <c r="E55" s="18"/>
      <c r="F55" s="19" t="s">
        <v>23</v>
      </c>
    </row>
    <row r="56" customFormat="false" ht="12.8" hidden="false" customHeight="false" outlineLevel="0" collapsed="false">
      <c r="B56" s="16"/>
      <c r="C56" s="16"/>
      <c r="D56" s="17"/>
      <c r="E56" s="18"/>
      <c r="F56" s="18"/>
    </row>
    <row r="57" customFormat="false" ht="12.8" hidden="false" customHeight="false" outlineLevel="0" collapsed="false">
      <c r="B57" s="16"/>
      <c r="C57" s="20" t="n">
        <v>26</v>
      </c>
      <c r="D57" s="21" t="n">
        <f aca="false">IF(D56="",D55+IF(OR(WEEKDAY(D55)=2,WEEKDAY(D55)=4),2,3),"")</f>
        <v>44279</v>
      </c>
      <c r="E57" s="22"/>
      <c r="F57" s="19"/>
    </row>
    <row r="58" customFormat="false" ht="12.8" hidden="false" customHeight="false" outlineLevel="0" collapsed="false">
      <c r="B58" s="16"/>
      <c r="C58" s="20"/>
      <c r="D58" s="21"/>
      <c r="E58" s="22"/>
      <c r="F58" s="22"/>
    </row>
    <row r="59" customFormat="false" ht="12.8" hidden="false" customHeight="false" outlineLevel="0" collapsed="false">
      <c r="B59" s="16"/>
      <c r="C59" s="20" t="n">
        <v>27</v>
      </c>
      <c r="D59" s="21" t="n">
        <f aca="false">IF(D58="",D57+IF(OR(WEEKDAY(D57)=2,WEEKDAY(D57)=4),2,3),"")</f>
        <v>44281</v>
      </c>
      <c r="E59" s="22"/>
      <c r="F59" s="19"/>
    </row>
    <row r="60" customFormat="false" ht="12.8" hidden="false" customHeight="false" outlineLevel="0" collapsed="false">
      <c r="B60" s="16"/>
      <c r="C60" s="20"/>
      <c r="D60" s="21"/>
      <c r="E60" s="22"/>
      <c r="F60" s="19"/>
    </row>
    <row r="61" customFormat="false" ht="12.8" hidden="false" customHeight="false" outlineLevel="0" collapsed="false">
      <c r="B61" s="16" t="n">
        <v>10</v>
      </c>
      <c r="C61" s="16" t="n">
        <v>28</v>
      </c>
      <c r="D61" s="17" t="n">
        <f aca="false">IF(D60="",D59+IF(OR(WEEKDAY(D59)=2,WEEKDAY(D59)=4),2,3),"")</f>
        <v>44284</v>
      </c>
      <c r="E61" s="18"/>
      <c r="F61" s="19"/>
    </row>
    <row r="62" customFormat="false" ht="12.8" hidden="false" customHeight="false" outlineLevel="0" collapsed="false">
      <c r="B62" s="16"/>
      <c r="C62" s="16"/>
      <c r="D62" s="17"/>
      <c r="E62" s="18"/>
      <c r="F62" s="18"/>
    </row>
    <row r="63" customFormat="false" ht="12.8" hidden="false" customHeight="false" outlineLevel="0" collapsed="false">
      <c r="B63" s="16"/>
      <c r="C63" s="20" t="n">
        <v>29</v>
      </c>
      <c r="D63" s="21" t="n">
        <f aca="false">IF(D62="",D61+IF(OR(WEEKDAY(D61)=2,WEEKDAY(D61)=4),2,3),"")</f>
        <v>44286</v>
      </c>
      <c r="E63" s="22"/>
      <c r="F63" s="19"/>
    </row>
    <row r="64" customFormat="false" ht="12.8" hidden="false" customHeight="false" outlineLevel="0" collapsed="false">
      <c r="B64" s="16"/>
      <c r="C64" s="20"/>
      <c r="D64" s="21"/>
      <c r="E64" s="22"/>
      <c r="F64" s="22"/>
    </row>
    <row r="65" customFormat="false" ht="12.8" hidden="false" customHeight="false" outlineLevel="0" collapsed="false">
      <c r="A65" s="23" t="n">
        <f aca="false">DATE(D2,MONTH(1&amp;D3)+3,D4)</f>
        <v>44311</v>
      </c>
      <c r="B65" s="16"/>
      <c r="C65" s="20" t="n">
        <v>30</v>
      </c>
      <c r="D65" s="21" t="n">
        <f aca="false">IF(D64="",D63+IF(OR(WEEKDAY(D63)=2,WEEKDAY(D63)=4),2,3),"")</f>
        <v>44288</v>
      </c>
      <c r="E65" s="22"/>
      <c r="F65" s="19"/>
    </row>
    <row r="66" customFormat="false" ht="12.8" hidden="false" customHeight="false" outlineLevel="0" collapsed="false">
      <c r="B66" s="16"/>
      <c r="C66" s="20"/>
      <c r="D66" s="21"/>
      <c r="E66" s="22"/>
      <c r="F66" s="19"/>
    </row>
    <row r="67" customFormat="false" ht="12.8" hidden="false" customHeight="true" outlineLevel="0" collapsed="false">
      <c r="B67" s="16" t="n">
        <v>11</v>
      </c>
      <c r="C67" s="16" t="n">
        <v>31</v>
      </c>
      <c r="D67" s="17" t="n">
        <f aca="false">IF(D66="",D65+IF(OR(WEEKDAY(D65)=2,WEEKDAY(D65)=4),2,3),"")</f>
        <v>44291</v>
      </c>
      <c r="E67" s="25" t="s">
        <v>24</v>
      </c>
      <c r="F67" s="19" t="s">
        <v>25</v>
      </c>
    </row>
    <row r="68" customFormat="false" ht="12.8" hidden="false" customHeight="false" outlineLevel="0" collapsed="false">
      <c r="B68" s="16"/>
      <c r="C68" s="16"/>
      <c r="D68" s="17"/>
      <c r="E68" s="25"/>
      <c r="F68" s="19"/>
    </row>
    <row r="69" customFormat="false" ht="12.8" hidden="false" customHeight="false" outlineLevel="0" collapsed="false">
      <c r="B69" s="16"/>
      <c r="C69" s="20" t="n">
        <v>32</v>
      </c>
      <c r="D69" s="21" t="n">
        <f aca="false">IF(D68="",D67+IF(OR(WEEKDAY(D67)=2,WEEKDAY(D67)=4),2,3),"")</f>
        <v>44293</v>
      </c>
      <c r="E69" s="22"/>
      <c r="F69" s="19"/>
    </row>
    <row r="70" customFormat="false" ht="12.8" hidden="false" customHeight="false" outlineLevel="0" collapsed="false">
      <c r="B70" s="16"/>
      <c r="C70" s="20"/>
      <c r="D70" s="21"/>
      <c r="E70" s="22"/>
      <c r="F70" s="22"/>
    </row>
    <row r="71" customFormat="false" ht="12.8" hidden="false" customHeight="false" outlineLevel="0" collapsed="false">
      <c r="B71" s="16"/>
      <c r="C71" s="20" t="n">
        <v>33</v>
      </c>
      <c r="D71" s="21" t="n">
        <f aca="false">IF(D70="",D69+IF(OR(WEEKDAY(D69)=2,WEEKDAY(D69)=4),2,3),"")</f>
        <v>44295</v>
      </c>
      <c r="E71" s="22"/>
      <c r="F71" s="19"/>
    </row>
    <row r="72" customFormat="false" ht="12.8" hidden="false" customHeight="false" outlineLevel="0" collapsed="false">
      <c r="B72" s="16"/>
      <c r="C72" s="20"/>
      <c r="D72" s="21"/>
      <c r="E72" s="22"/>
      <c r="F72" s="19"/>
    </row>
    <row r="73" customFormat="false" ht="12.8" hidden="false" customHeight="true" outlineLevel="0" collapsed="false">
      <c r="B73" s="16" t="n">
        <v>12</v>
      </c>
      <c r="C73" s="16" t="n">
        <v>34</v>
      </c>
      <c r="D73" s="17" t="n">
        <f aca="false">IF(D72="",D71+IF(OR(WEEKDAY(D71)=2,WEEKDAY(D71)=4),2,3),"")</f>
        <v>44298</v>
      </c>
      <c r="E73" s="18"/>
      <c r="F73" s="19" t="s">
        <v>26</v>
      </c>
    </row>
    <row r="74" customFormat="false" ht="12.8" hidden="false" customHeight="false" outlineLevel="0" collapsed="false">
      <c r="B74" s="16"/>
      <c r="C74" s="16"/>
      <c r="D74" s="17"/>
      <c r="E74" s="18"/>
      <c r="F74" s="19"/>
    </row>
    <row r="75" customFormat="false" ht="12.8" hidden="false" customHeight="false" outlineLevel="0" collapsed="false">
      <c r="B75" s="16"/>
      <c r="C75" s="20" t="n">
        <v>35</v>
      </c>
      <c r="D75" s="21" t="n">
        <f aca="false">IF(D74="",D73+IF(OR(WEEKDAY(D73)=2,WEEKDAY(D73)=4),2,3),"")</f>
        <v>44300</v>
      </c>
      <c r="E75" s="22"/>
      <c r="F75" s="19"/>
    </row>
    <row r="76" customFormat="false" ht="12.8" hidden="false" customHeight="false" outlineLevel="0" collapsed="false">
      <c r="B76" s="16"/>
      <c r="C76" s="20"/>
      <c r="D76" s="21"/>
      <c r="E76" s="22"/>
      <c r="F76" s="19"/>
    </row>
    <row r="77" customFormat="false" ht="12.8" hidden="false" customHeight="false" outlineLevel="0" collapsed="false">
      <c r="B77" s="16"/>
      <c r="C77" s="20" t="n">
        <v>36</v>
      </c>
      <c r="D77" s="21" t="n">
        <f aca="false">IF(D76="",D75+IF(OR(WEEKDAY(D75)=2,WEEKDAY(D75)=4),2,3),"")</f>
        <v>44302</v>
      </c>
      <c r="E77" s="22"/>
      <c r="F77" s="19"/>
    </row>
    <row r="78" customFormat="false" ht="12.8" hidden="false" customHeight="false" outlineLevel="0" collapsed="false">
      <c r="B78" s="16"/>
      <c r="C78" s="20"/>
      <c r="D78" s="21"/>
      <c r="E78" s="22"/>
      <c r="F78" s="19"/>
    </row>
    <row r="79" customFormat="false" ht="12.8" hidden="false" customHeight="false" outlineLevel="0" collapsed="false">
      <c r="B79" s="16" t="n">
        <v>13</v>
      </c>
      <c r="C79" s="16" t="n">
        <v>37</v>
      </c>
      <c r="D79" s="17" t="n">
        <f aca="false">IF(D78="",D77+IF(OR(WEEKDAY(D77)=2,WEEKDAY(D77)=4),2,3),"")</f>
        <v>44305</v>
      </c>
      <c r="E79" s="18"/>
      <c r="F79" s="19"/>
    </row>
    <row r="80" customFormat="false" ht="12.8" hidden="false" customHeight="false" outlineLevel="0" collapsed="false">
      <c r="B80" s="16"/>
      <c r="C80" s="16"/>
      <c r="D80" s="17"/>
      <c r="E80" s="18"/>
      <c r="F80" s="18"/>
    </row>
    <row r="81" customFormat="false" ht="12.8" hidden="false" customHeight="false" outlineLevel="0" collapsed="false">
      <c r="B81" s="16"/>
      <c r="C81" s="20" t="n">
        <v>38</v>
      </c>
      <c r="D81" s="21" t="n">
        <f aca="false">IF(D80="",D79+IF(OR(WEEKDAY(D79)=2,WEEKDAY(D79)=4),2,3),"")</f>
        <v>44307</v>
      </c>
      <c r="E81" s="22"/>
      <c r="F81" s="19"/>
    </row>
    <row r="82" customFormat="false" ht="12.8" hidden="false" customHeight="false" outlineLevel="0" collapsed="false">
      <c r="B82" s="16"/>
      <c r="C82" s="20"/>
      <c r="D82" s="21"/>
      <c r="E82" s="22"/>
      <c r="F82" s="22"/>
    </row>
    <row r="83" customFormat="false" ht="12.8" hidden="false" customHeight="false" outlineLevel="0" collapsed="false">
      <c r="B83" s="16"/>
      <c r="C83" s="20" t="n">
        <v>39</v>
      </c>
      <c r="D83" s="21" t="n">
        <f aca="false">IF(D82="",D81+IF(OR(WEEKDAY(D81)=2,WEEKDAY(D81)=4),2,3),"")</f>
        <v>44309</v>
      </c>
      <c r="E83" s="22"/>
      <c r="F83" s="19"/>
    </row>
    <row r="84" customFormat="false" ht="12.8" hidden="false" customHeight="false" outlineLevel="0" collapsed="false">
      <c r="B84" s="16"/>
      <c r="C84" s="20"/>
      <c r="D84" s="21"/>
      <c r="E84" s="22"/>
      <c r="F84" s="19"/>
    </row>
    <row r="85" customFormat="false" ht="12.8" hidden="false" customHeight="true" outlineLevel="0" collapsed="false">
      <c r="B85" s="16" t="n">
        <v>14</v>
      </c>
      <c r="C85" s="16" t="n">
        <v>40</v>
      </c>
      <c r="D85" s="17" t="n">
        <f aca="false">IF(D84="",D83+IF(OR(WEEKDAY(D83)=2,WEEKDAY(D83)=4),2,3),"")</f>
        <v>44312</v>
      </c>
      <c r="E85" s="18"/>
      <c r="F85" s="19" t="s">
        <v>27</v>
      </c>
    </row>
    <row r="86" customFormat="false" ht="12.8" hidden="false" customHeight="false" outlineLevel="0" collapsed="false">
      <c r="B86" s="16"/>
      <c r="C86" s="16"/>
      <c r="D86" s="17"/>
      <c r="E86" s="18"/>
      <c r="F86" s="18"/>
    </row>
    <row r="87" customFormat="false" ht="12.8" hidden="false" customHeight="false" outlineLevel="0" collapsed="false">
      <c r="B87" s="16"/>
      <c r="C87" s="20" t="n">
        <v>41</v>
      </c>
      <c r="D87" s="21" t="n">
        <f aca="false">IF(D86="",D85+IF(OR(WEEKDAY(D85)=2,WEEKDAY(D85)=4),2,3),"")</f>
        <v>44314</v>
      </c>
      <c r="E87" s="22"/>
      <c r="F87" s="19"/>
    </row>
    <row r="88" customFormat="false" ht="12.8" hidden="false" customHeight="false" outlineLevel="0" collapsed="false">
      <c r="B88" s="16"/>
      <c r="C88" s="20"/>
      <c r="D88" s="21"/>
      <c r="E88" s="22"/>
      <c r="F88" s="19"/>
    </row>
    <row r="89" customFormat="false" ht="12.8" hidden="false" customHeight="true" outlineLevel="0" collapsed="false">
      <c r="B89" s="16"/>
      <c r="C89" s="20" t="n">
        <v>42</v>
      </c>
      <c r="D89" s="21" t="n">
        <f aca="false">IF(D88="",D87+IF(OR(WEEKDAY(D87)=2,WEEKDAY(D87)=4),2,3),"")</f>
        <v>44316</v>
      </c>
      <c r="E89" s="26" t="s">
        <v>28</v>
      </c>
      <c r="F89" s="19"/>
    </row>
    <row r="90" customFormat="false" ht="12.8" hidden="false" customHeight="false" outlineLevel="0" collapsed="false">
      <c r="B90" s="16"/>
      <c r="C90" s="20"/>
      <c r="D90" s="21"/>
      <c r="E90" s="26"/>
      <c r="F90" s="19"/>
    </row>
    <row r="91" customFormat="false" ht="12.8" hidden="false" customHeight="true" outlineLevel="0" collapsed="false">
      <c r="A91" s="23" t="n">
        <f aca="false">DATE(D2,MONTH(1&amp;D3)+4,D4)</f>
        <v>44341</v>
      </c>
      <c r="B91" s="16" t="n">
        <v>15</v>
      </c>
      <c r="C91" s="16" t="n">
        <v>43</v>
      </c>
      <c r="D91" s="17" t="n">
        <f aca="false">IF(D90="",D89+IF(OR(WEEKDAY(D89)=2,WEEKDAY(D89)=4),2,3),"")</f>
        <v>44319</v>
      </c>
      <c r="E91" s="18"/>
      <c r="F91" s="19" t="s">
        <v>29</v>
      </c>
    </row>
    <row r="92" customFormat="false" ht="12.8" hidden="false" customHeight="false" outlineLevel="0" collapsed="false">
      <c r="B92" s="27"/>
      <c r="C92" s="27"/>
      <c r="D92" s="28"/>
      <c r="E92" s="18"/>
      <c r="F92" s="19"/>
    </row>
    <row r="93" customFormat="false" ht="12.8" hidden="false" customHeight="false" outlineLevel="0" collapsed="false">
      <c r="B93" s="27"/>
      <c r="C93" s="27" t="n">
        <v>44</v>
      </c>
      <c r="D93" s="28" t="n">
        <f aca="false">IF(D92="",D91+IF(OR(WEEKDAY(D91)=2,WEEKDAY(D91)=4),2,3),"")</f>
        <v>44321</v>
      </c>
      <c r="E93" s="22"/>
      <c r="F93" s="19"/>
    </row>
    <row r="94" customFormat="false" ht="12.8" hidden="false" customHeight="false" outlineLevel="0" collapsed="false">
      <c r="B94" s="27"/>
      <c r="C94" s="27"/>
      <c r="D94" s="28"/>
      <c r="E94" s="22"/>
      <c r="F94" s="22"/>
    </row>
    <row r="95" customFormat="false" ht="12.8" hidden="false" customHeight="false" outlineLevel="0" collapsed="false">
      <c r="B95" s="27"/>
      <c r="C95" s="27" t="n">
        <v>45</v>
      </c>
      <c r="D95" s="28" t="n">
        <f aca="false">IF(D94="",D93+IF(OR(WEEKDAY(D93)=2,WEEKDAY(D93)=4),2,3),"")</f>
        <v>44323</v>
      </c>
      <c r="E95" s="22"/>
      <c r="F95" s="19"/>
    </row>
    <row r="96" customFormat="false" ht="12.8" hidden="false" customHeight="false" outlineLevel="0" collapsed="false">
      <c r="B96" s="29"/>
      <c r="C96" s="29"/>
      <c r="D96" s="30"/>
      <c r="E96" s="22"/>
      <c r="F96" s="19"/>
    </row>
    <row r="97" customFormat="false" ht="12.8" hidden="false" customHeight="false" outlineLevel="0" collapsed="false">
      <c r="B97" s="16" t="n">
        <v>16</v>
      </c>
      <c r="C97" s="16" t="n">
        <v>46</v>
      </c>
      <c r="D97" s="17" t="n">
        <f aca="false">IF(D96="",D95+IF(OR(WEEKDAY(D95)=2,WEEKDAY(D95)=4),2,3),"")</f>
        <v>44326</v>
      </c>
      <c r="E97" s="18"/>
      <c r="F97" s="18"/>
    </row>
    <row r="98" customFormat="false" ht="12.8" hidden="false" customHeight="false" outlineLevel="0" collapsed="false">
      <c r="B98" s="16"/>
      <c r="C98" s="16"/>
      <c r="D98" s="17"/>
      <c r="E98" s="18"/>
      <c r="F98" s="18"/>
    </row>
    <row r="99" customFormat="false" ht="12.8" hidden="false" customHeight="false" outlineLevel="0" collapsed="false">
      <c r="B99" s="16"/>
      <c r="C99" s="20" t="n">
        <v>47</v>
      </c>
      <c r="D99" s="21" t="n">
        <f aca="false">IF(D98="",D97+IF(OR(WEEKDAY(D97)=2,WEEKDAY(D97)=4),2,3),"")</f>
        <v>44328</v>
      </c>
      <c r="E99" s="22"/>
      <c r="F99" s="18"/>
    </row>
    <row r="100" customFormat="false" ht="12.8" hidden="false" customHeight="false" outlineLevel="0" collapsed="false">
      <c r="B100" s="16"/>
      <c r="C100" s="20"/>
      <c r="D100" s="21"/>
      <c r="E100" s="22"/>
      <c r="F100" s="22"/>
    </row>
    <row r="101" customFormat="false" ht="12.8" hidden="false" customHeight="false" outlineLevel="0" collapsed="false">
      <c r="B101" s="16"/>
      <c r="C101" s="20" t="n">
        <v>48</v>
      </c>
      <c r="D101" s="21" t="n">
        <f aca="false">IF(D100="",D99+IF(OR(WEEKDAY(D99)=2,WEEKDAY(D99)=4),2,3),"")</f>
        <v>44330</v>
      </c>
      <c r="E101" s="22"/>
      <c r="F101" s="18"/>
    </row>
    <row r="102" customFormat="false" ht="12.8" hidden="false" customHeight="false" outlineLevel="0" collapsed="false">
      <c r="B102" s="16"/>
      <c r="C102" s="16"/>
      <c r="D102" s="16"/>
      <c r="E102" s="16"/>
      <c r="F102" s="16"/>
    </row>
  </sheetData>
  <mergeCells count="173">
    <mergeCell ref="B2:C2"/>
    <mergeCell ref="F2:F5"/>
    <mergeCell ref="B3:C3"/>
    <mergeCell ref="B4:C4"/>
    <mergeCell ref="B7:B12"/>
    <mergeCell ref="C7:C8"/>
    <mergeCell ref="D7:D8"/>
    <mergeCell ref="E7:E8"/>
    <mergeCell ref="F7:F12"/>
    <mergeCell ref="C9:C10"/>
    <mergeCell ref="D9:D10"/>
    <mergeCell ref="E9:E10"/>
    <mergeCell ref="C11:C12"/>
    <mergeCell ref="D11:D12"/>
    <mergeCell ref="E11:E12"/>
    <mergeCell ref="B13:B18"/>
    <mergeCell ref="C13:C14"/>
    <mergeCell ref="D13:D14"/>
    <mergeCell ref="E13:E14"/>
    <mergeCell ref="F13:F18"/>
    <mergeCell ref="C15:C16"/>
    <mergeCell ref="D15:D16"/>
    <mergeCell ref="E15:E16"/>
    <mergeCell ref="C17:C18"/>
    <mergeCell ref="D17:D18"/>
    <mergeCell ref="E17:E18"/>
    <mergeCell ref="B19:B24"/>
    <mergeCell ref="C19:C20"/>
    <mergeCell ref="D19:D20"/>
    <mergeCell ref="E19:E20"/>
    <mergeCell ref="F19:F24"/>
    <mergeCell ref="C21:C22"/>
    <mergeCell ref="D21:D22"/>
    <mergeCell ref="E21:E22"/>
    <mergeCell ref="C23:C24"/>
    <mergeCell ref="D23:D24"/>
    <mergeCell ref="E23:E24"/>
    <mergeCell ref="B25:B30"/>
    <mergeCell ref="C25:C26"/>
    <mergeCell ref="D25:D26"/>
    <mergeCell ref="E25:E26"/>
    <mergeCell ref="F25:F30"/>
    <mergeCell ref="C27:C28"/>
    <mergeCell ref="D27:D28"/>
    <mergeCell ref="E27:E28"/>
    <mergeCell ref="C29:C30"/>
    <mergeCell ref="D29:D30"/>
    <mergeCell ref="E29:E30"/>
    <mergeCell ref="B31:B36"/>
    <mergeCell ref="C31:C32"/>
    <mergeCell ref="D31:D32"/>
    <mergeCell ref="E31:E32"/>
    <mergeCell ref="F31:F36"/>
    <mergeCell ref="C33:C34"/>
    <mergeCell ref="D33:D34"/>
    <mergeCell ref="E33:E34"/>
    <mergeCell ref="C35:C36"/>
    <mergeCell ref="D35:D36"/>
    <mergeCell ref="E35:E36"/>
    <mergeCell ref="B37:B42"/>
    <mergeCell ref="C37:C38"/>
    <mergeCell ref="D37:D38"/>
    <mergeCell ref="E37:E38"/>
    <mergeCell ref="F37:F42"/>
    <mergeCell ref="C39:C40"/>
    <mergeCell ref="D39:D40"/>
    <mergeCell ref="E39:E40"/>
    <mergeCell ref="C41:C42"/>
    <mergeCell ref="D41:D42"/>
    <mergeCell ref="E41:E42"/>
    <mergeCell ref="B43:B48"/>
    <mergeCell ref="C43:C44"/>
    <mergeCell ref="D43:D44"/>
    <mergeCell ref="E43:E44"/>
    <mergeCell ref="F43:F48"/>
    <mergeCell ref="C45:C46"/>
    <mergeCell ref="D45:D46"/>
    <mergeCell ref="E45:E46"/>
    <mergeCell ref="C47:C48"/>
    <mergeCell ref="D47:D48"/>
    <mergeCell ref="E47:E48"/>
    <mergeCell ref="B49:B54"/>
    <mergeCell ref="C49:C50"/>
    <mergeCell ref="D49:D50"/>
    <mergeCell ref="E49:E50"/>
    <mergeCell ref="F49:F54"/>
    <mergeCell ref="C51:C52"/>
    <mergeCell ref="D51:D52"/>
    <mergeCell ref="E51:E52"/>
    <mergeCell ref="C53:C54"/>
    <mergeCell ref="D53:D54"/>
    <mergeCell ref="E53:E54"/>
    <mergeCell ref="B55:B60"/>
    <mergeCell ref="C55:C56"/>
    <mergeCell ref="D55:D56"/>
    <mergeCell ref="E55:E56"/>
    <mergeCell ref="F55:F60"/>
    <mergeCell ref="C57:C58"/>
    <mergeCell ref="D57:D58"/>
    <mergeCell ref="E57:E58"/>
    <mergeCell ref="C59:C60"/>
    <mergeCell ref="D59:D60"/>
    <mergeCell ref="E59:E60"/>
    <mergeCell ref="B61:B66"/>
    <mergeCell ref="C61:C62"/>
    <mergeCell ref="D61:D62"/>
    <mergeCell ref="E61:E62"/>
    <mergeCell ref="F61:F66"/>
    <mergeCell ref="C63:C64"/>
    <mergeCell ref="D63:D64"/>
    <mergeCell ref="E63:E64"/>
    <mergeCell ref="C65:C66"/>
    <mergeCell ref="D65:D66"/>
    <mergeCell ref="E65:E66"/>
    <mergeCell ref="B67:B72"/>
    <mergeCell ref="C67:C68"/>
    <mergeCell ref="D67:D68"/>
    <mergeCell ref="E67:E68"/>
    <mergeCell ref="F67:F72"/>
    <mergeCell ref="C69:C70"/>
    <mergeCell ref="D69:D70"/>
    <mergeCell ref="E69:E70"/>
    <mergeCell ref="C71:C72"/>
    <mergeCell ref="D71:D72"/>
    <mergeCell ref="E71:E72"/>
    <mergeCell ref="B73:B78"/>
    <mergeCell ref="C73:C74"/>
    <mergeCell ref="D73:D74"/>
    <mergeCell ref="E73:E74"/>
    <mergeCell ref="F73:F78"/>
    <mergeCell ref="C75:C76"/>
    <mergeCell ref="D75:D76"/>
    <mergeCell ref="E75:E76"/>
    <mergeCell ref="C77:C78"/>
    <mergeCell ref="D77:D78"/>
    <mergeCell ref="E77:E78"/>
    <mergeCell ref="B79:B84"/>
    <mergeCell ref="C79:C80"/>
    <mergeCell ref="D79:D80"/>
    <mergeCell ref="E79:E80"/>
    <mergeCell ref="F79:F84"/>
    <mergeCell ref="C81:C82"/>
    <mergeCell ref="D81:D82"/>
    <mergeCell ref="E81:E82"/>
    <mergeCell ref="C83:C84"/>
    <mergeCell ref="D83:D84"/>
    <mergeCell ref="E83:E84"/>
    <mergeCell ref="B85:B90"/>
    <mergeCell ref="C85:C86"/>
    <mergeCell ref="D85:D86"/>
    <mergeCell ref="E85:E86"/>
    <mergeCell ref="F85:F90"/>
    <mergeCell ref="C87:C88"/>
    <mergeCell ref="D87:D88"/>
    <mergeCell ref="E87:E88"/>
    <mergeCell ref="C89:C90"/>
    <mergeCell ref="D89:D90"/>
    <mergeCell ref="E89:E90"/>
    <mergeCell ref="E91:E92"/>
    <mergeCell ref="F91:F96"/>
    <mergeCell ref="E93:E94"/>
    <mergeCell ref="E95:E96"/>
    <mergeCell ref="B97:B102"/>
    <mergeCell ref="C97:C98"/>
    <mergeCell ref="D97:D98"/>
    <mergeCell ref="E97:E98"/>
    <mergeCell ref="F97:F102"/>
    <mergeCell ref="C99:C100"/>
    <mergeCell ref="D99:D100"/>
    <mergeCell ref="E99:E100"/>
    <mergeCell ref="C101:C102"/>
    <mergeCell ref="D101:D102"/>
    <mergeCell ref="E101:E102"/>
  </mergeCells>
  <conditionalFormatting sqref="D7:F7 B19 B25 B31 B37 B43 A7:B7 A13:B13 B49 B61 B73 B85 B55 B67 B79 E13:F13 E19:F19 E25:F25 E31:F31 E37 E43 E49 E55 E61 E67 E73 E79 E85:F85 E91">
    <cfRule type="expression" priority="2" aboveAverage="0" equalAverage="0" bottom="0" percent="0" rank="0" text="" dxfId="0">
      <formula>"not(isblank(address(row(),c)))"</formula>
    </cfRule>
  </conditionalFormatting>
  <conditionalFormatting sqref="B97 B101 E101:F101 E97:F97">
    <cfRule type="expression" priority="3" aboveAverage="0" equalAverage="0" bottom="0" percent="0" rank="0" text="" dxfId="1">
      <formula>"not(isblank(address(row(),c)))"</formula>
    </cfRule>
  </conditionalFormatting>
  <conditionalFormatting sqref="F79">
    <cfRule type="expression" priority="4" aboveAverage="0" equalAverage="0" bottom="0" percent="0" rank="0" text="" dxfId="2">
      <formula>"not(isblank(address(row(),c)))"</formula>
    </cfRule>
  </conditionalFormatting>
  <conditionalFormatting sqref="F73">
    <cfRule type="expression" priority="5" aboveAverage="0" equalAverage="0" bottom="0" percent="0" rank="0" text="" dxfId="3">
      <formula>"not(isblank(address(row(),c)))"</formula>
    </cfRule>
  </conditionalFormatting>
  <conditionalFormatting sqref="F49 F55 F61 F67">
    <cfRule type="expression" priority="6" aboveAverage="0" equalAverage="0" bottom="0" percent="0" rank="0" text="" dxfId="4">
      <formula>"not(isblank(address(row(),c)))"</formula>
    </cfRule>
  </conditionalFormatting>
  <conditionalFormatting sqref="F37">
    <cfRule type="expression" priority="7" aboveAverage="0" equalAverage="0" bottom="0" percent="0" rank="0" text="" dxfId="5">
      <formula>"not(isblank(address(row(),c)))"</formula>
    </cfRule>
  </conditionalFormatting>
  <dataValidations count="1">
    <dataValidation allowBlank="true" error="Select a month from the entries in the list. Select CANCEL, then ALT+DOWN ARROW to pick from the dropdown list" operator="between" prompt="Select the calendar's start month from the dropdown list. Press ALT+DOWN ARROW to open the dropdown list then press ENTER to choose one of the items" showDropDown="false" showErrorMessage="true" showInputMessage="true" sqref="D3" type="list">
      <formula1>"January,February,March,April,May,June,July,August,September,October,November,December"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1251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2021-01-23T21:12:46Z</dcterms:created>
  <dc:creator>Remington, Eric</dc:creator>
  <dc:description/>
  <dc:language>en-US</dc:language>
  <cp:lastModifiedBy/>
  <dcterms:modified xsi:type="dcterms:W3CDTF">2021-02-11T10:47:58Z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